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de Tracker" sheetId="1" state="visible" r:id="rId1"/>
  </sheets>
  <definedNames>
    <definedName name="_xlnm._FilterDatabase" localSheetId="0" hidden="1">'Trade Tracker'!$A$1:$W$1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$#,##0;-$#,##0"/>
    <numFmt numFmtId="166" formatCode="₹#,##0;-₹#,##0"/>
    <numFmt numFmtId="167" formatCode="0.0%;-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006100"/>
      <sz val="9"/>
    </font>
    <font>
      <name val="Arial"/>
      <b val="1"/>
      <sz val="9"/>
    </font>
    <font>
      <name val="Arial"/>
      <b val="1"/>
      <color rgb="009C0006"/>
      <sz val="9"/>
    </font>
  </fonts>
  <fills count="5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167" fontId="3" fillId="3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8" customWidth="1" min="9" max="9"/>
    <col width="8" customWidth="1" min="10" max="10"/>
    <col width="13" customWidth="1" min="11" max="11"/>
    <col width="13" customWidth="1" min="12" max="12"/>
    <col width="16" customWidth="1" min="13" max="13"/>
    <col width="13" customWidth="1" min="14" max="14"/>
    <col width="13" customWidth="1" min="15" max="15"/>
    <col width="16" customWidth="1" min="16" max="16"/>
    <col width="13" customWidth="1" min="17" max="17"/>
    <col width="13" customWidth="1" min="18" max="18"/>
    <col width="10" customWidth="1" min="19" max="19"/>
    <col width="28" customWidth="1" min="20" max="20"/>
    <col width="11" customWidth="1" min="21" max="21"/>
    <col width="10" customWidth="1" min="22" max="22"/>
    <col width="16" customWidth="1" min="23" max="23"/>
  </cols>
  <sheetData>
    <row r="1">
      <c r="A1" s="1" t="inlineStr">
        <is>
          <t>Date</t>
        </is>
      </c>
      <c r="B1" s="1" t="inlineStr">
        <is>
          <t>Day</t>
        </is>
      </c>
      <c r="C1" s="1" t="inlineStr">
        <is>
          <t>Entry Time</t>
        </is>
      </c>
      <c r="D1" s="1" t="inlineStr">
        <is>
          <t>Exit Time</t>
        </is>
      </c>
      <c r="E1" s="1" t="inlineStr">
        <is>
          <t>BTC Spot ($)</t>
        </is>
      </c>
      <c r="F1" s="1" t="inlineStr">
        <is>
          <t>ATM Strike ($)</t>
        </is>
      </c>
      <c r="G1" s="1" t="inlineStr">
        <is>
          <t>Call Strike ($)</t>
        </is>
      </c>
      <c r="H1" s="1" t="inlineStr">
        <is>
          <t>Put Strike ($)</t>
        </is>
      </c>
      <c r="I1" s="1" t="inlineStr">
        <is>
          <t>CE Dist</t>
        </is>
      </c>
      <c r="J1" s="1" t="inlineStr">
        <is>
          <t>PE Dist</t>
        </is>
      </c>
      <c r="K1" s="1" t="inlineStr">
        <is>
          <t>Entry CE ($)</t>
        </is>
      </c>
      <c r="L1" s="1" t="inlineStr">
        <is>
          <t>Entry PE ($)</t>
        </is>
      </c>
      <c r="M1" s="1" t="inlineStr">
        <is>
          <t>Entry Combined ($)</t>
        </is>
      </c>
      <c r="N1" s="1" t="inlineStr">
        <is>
          <t>Exit CE ($)</t>
        </is>
      </c>
      <c r="O1" s="1" t="inlineStr">
        <is>
          <t>Exit PE ($)</t>
        </is>
      </c>
      <c r="P1" s="1" t="inlineStr">
        <is>
          <t>Exit Combined ($)</t>
        </is>
      </c>
      <c r="Q1" s="1" t="inlineStr">
        <is>
          <t>P&amp;L (USD)</t>
        </is>
      </c>
      <c r="R1" s="1" t="inlineStr">
        <is>
          <t>P&amp;L (INR)</t>
        </is>
      </c>
      <c r="S1" s="1" t="inlineStr">
        <is>
          <t>P&amp;L %</t>
        </is>
      </c>
      <c r="T1" s="1" t="inlineStr">
        <is>
          <t>Exit Reason</t>
        </is>
      </c>
      <c r="U1" s="1" t="inlineStr">
        <is>
          <t>Duration</t>
        </is>
      </c>
      <c r="V1" s="1" t="inlineStr">
        <is>
          <t>Mode</t>
        </is>
      </c>
      <c r="W1" s="1" t="inlineStr">
        <is>
          <t>Cum P&amp;L (INR)</t>
        </is>
      </c>
    </row>
    <row r="2">
      <c r="A2" s="2" t="inlineStr">
        <is>
          <t>02-03-2026</t>
        </is>
      </c>
      <c r="B2" s="2" t="inlineStr">
        <is>
          <t>Monday</t>
        </is>
      </c>
      <c r="C2" s="2" t="inlineStr">
        <is>
          <t>03:45</t>
        </is>
      </c>
      <c r="D2" s="2" t="inlineStr">
        <is>
          <t>17:28</t>
        </is>
      </c>
      <c r="E2" s="3" t="n">
        <v>66020.3</v>
      </c>
      <c r="F2" s="3" t="n">
        <v>66000</v>
      </c>
      <c r="G2" s="3" t="n">
        <v>68600</v>
      </c>
      <c r="H2" s="3" t="n">
        <v>63000</v>
      </c>
      <c r="I2" s="2" t="n">
        <v>13</v>
      </c>
      <c r="J2" s="2" t="n">
        <v>15</v>
      </c>
      <c r="K2" s="3" t="n">
        <v>68</v>
      </c>
      <c r="L2" s="3" t="n">
        <v>125</v>
      </c>
      <c r="M2" s="3" t="n">
        <v>193</v>
      </c>
      <c r="N2" s="3" t="n">
        <v>0.8</v>
      </c>
      <c r="O2" s="3" t="n">
        <v>0.8</v>
      </c>
      <c r="P2" s="3" t="n">
        <v>1.6</v>
      </c>
      <c r="Q2" s="4" t="n">
        <v>191</v>
      </c>
      <c r="R2" s="5" t="n">
        <v>17438</v>
      </c>
      <c r="S2" s="6" t="n">
        <v>99.2</v>
      </c>
      <c r="T2" s="2" t="inlineStr">
        <is>
          <t>Early Exit — Premium decayed</t>
        </is>
      </c>
      <c r="U2" s="2" t="inlineStr">
        <is>
          <t>13h 43m</t>
        </is>
      </c>
      <c r="V2" s="2" t="inlineStr">
        <is>
          <t>DRY RUN</t>
        </is>
      </c>
      <c r="W2" s="7">
        <f>R2</f>
        <v/>
      </c>
    </row>
    <row r="3">
      <c r="A3" s="2" t="inlineStr">
        <is>
          <t>03-03-2026</t>
        </is>
      </c>
      <c r="B3" s="2" t="inlineStr">
        <is>
          <t>Tuesday</t>
        </is>
      </c>
      <c r="C3" s="2" t="inlineStr">
        <is>
          <t>03:49</t>
        </is>
      </c>
      <c r="D3" s="2" t="inlineStr">
        <is>
          <t>15:01</t>
        </is>
      </c>
      <c r="E3" s="3" t="n">
        <v>69176.2</v>
      </c>
      <c r="F3" s="3" t="n">
        <v>69200</v>
      </c>
      <c r="G3" s="3" t="n">
        <v>71200</v>
      </c>
      <c r="H3" s="3" t="n">
        <v>66800</v>
      </c>
      <c r="I3" s="2" t="n">
        <v>10</v>
      </c>
      <c r="J3" s="2" t="n">
        <v>12</v>
      </c>
      <c r="K3" s="3" t="n">
        <v>40</v>
      </c>
      <c r="L3" s="3" t="n">
        <v>71</v>
      </c>
      <c r="M3" s="3" t="n">
        <v>111</v>
      </c>
      <c r="N3" s="3" t="n">
        <v>100</v>
      </c>
      <c r="O3" s="3" t="n">
        <v>177.5</v>
      </c>
      <c r="P3" s="3" t="n">
        <v>277.5</v>
      </c>
      <c r="Q3" s="8" t="n">
        <v>-166</v>
      </c>
      <c r="R3" s="9" t="n">
        <v>-15178</v>
      </c>
      <c r="S3" s="10" t="n">
        <v>-150</v>
      </c>
      <c r="T3" s="2" t="inlineStr">
        <is>
          <t>SL — Combined 2.5x (intraday @ 15:01)</t>
        </is>
      </c>
      <c r="U3" s="2" t="inlineStr">
        <is>
          <t>11h 12m</t>
        </is>
      </c>
      <c r="V3" s="2" t="inlineStr">
        <is>
          <t>DRY RUN</t>
        </is>
      </c>
      <c r="W3" s="7">
        <f>W2+R3</f>
        <v/>
      </c>
    </row>
    <row r="4">
      <c r="A4" s="2" t="inlineStr">
        <is>
          <t>04-03-2026</t>
        </is>
      </c>
      <c r="B4" s="2" t="inlineStr">
        <is>
          <t>Wednesday</t>
        </is>
      </c>
      <c r="C4" s="2" t="inlineStr">
        <is>
          <t>03:49</t>
        </is>
      </c>
      <c r="D4" s="2" t="inlineStr">
        <is>
          <t>15:12</t>
        </is>
      </c>
      <c r="E4" s="3" t="n">
        <v>68257</v>
      </c>
      <c r="F4" s="3" t="n">
        <v>68200</v>
      </c>
      <c r="G4" s="3" t="n">
        <v>71200</v>
      </c>
      <c r="H4" s="3" t="n">
        <v>65200</v>
      </c>
      <c r="I4" s="2" t="n">
        <v>13</v>
      </c>
      <c r="J4" s="2" t="n">
        <v>15</v>
      </c>
      <c r="K4" s="3" t="n">
        <v>18</v>
      </c>
      <c r="L4" s="3" t="n">
        <v>32</v>
      </c>
      <c r="M4" s="3" t="n">
        <v>50</v>
      </c>
      <c r="N4" s="3" t="n">
        <v>45</v>
      </c>
      <c r="O4" s="3" t="n">
        <v>80</v>
      </c>
      <c r="P4" s="3" t="n">
        <v>125</v>
      </c>
      <c r="Q4" s="8" t="n">
        <v>-75</v>
      </c>
      <c r="R4" s="9" t="n">
        <v>-6872</v>
      </c>
      <c r="S4" s="10" t="n">
        <v>-150</v>
      </c>
      <c r="T4" s="2" t="inlineStr">
        <is>
          <t>SL — Combined 2.5x (intraday @ 15:12)</t>
        </is>
      </c>
      <c r="U4" s="2" t="inlineStr">
        <is>
          <t>11h 23m</t>
        </is>
      </c>
      <c r="V4" s="2" t="inlineStr">
        <is>
          <t>DRY RUN</t>
        </is>
      </c>
      <c r="W4" s="7">
        <f>W3+R4</f>
        <v/>
      </c>
    </row>
    <row r="5">
      <c r="A5" s="2" t="inlineStr">
        <is>
          <t>05-03-2026</t>
        </is>
      </c>
      <c r="B5" s="2" t="inlineStr">
        <is>
          <t>Thursday</t>
        </is>
      </c>
      <c r="C5" s="2" t="inlineStr">
        <is>
          <t>03:52</t>
        </is>
      </c>
      <c r="D5" s="2" t="inlineStr">
        <is>
          <t>17:30</t>
        </is>
      </c>
      <c r="E5" s="3" t="n">
        <v>73277.2</v>
      </c>
      <c r="F5" s="3" t="n">
        <v>73200</v>
      </c>
      <c r="G5" s="3" t="n">
        <v>75200</v>
      </c>
      <c r="H5" s="3" t="n">
        <v>70800</v>
      </c>
      <c r="I5" s="2" t="n">
        <v>10</v>
      </c>
      <c r="J5" s="2" t="n">
        <v>12</v>
      </c>
      <c r="K5" s="3" t="n">
        <v>64</v>
      </c>
      <c r="L5" s="3" t="n">
        <v>61</v>
      </c>
      <c r="M5" s="3" t="n">
        <v>125</v>
      </c>
      <c r="N5" s="3" t="n">
        <v>0</v>
      </c>
      <c r="O5" s="3" t="n">
        <v>0</v>
      </c>
      <c r="P5" s="3" t="n">
        <v>0</v>
      </c>
      <c r="Q5" s="4" t="n">
        <v>125</v>
      </c>
      <c r="R5" s="5" t="n">
        <v>11514</v>
      </c>
      <c r="S5" s="6" t="n">
        <v>100</v>
      </c>
      <c r="T5" s="2" t="inlineStr">
        <is>
          <t>Time Exit — Options Expired OTM (full premium kept)</t>
        </is>
      </c>
      <c r="U5" s="2" t="inlineStr">
        <is>
          <t>13h 38m</t>
        </is>
      </c>
      <c r="V5" s="2" t="inlineStr">
        <is>
          <t>DRY RUN</t>
        </is>
      </c>
      <c r="W5" s="7">
        <f>W4+R5</f>
        <v/>
      </c>
    </row>
  </sheetData>
  <autoFilter ref="A1:W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2026-03-02T11:58:28Z</dcterms:created>
  <dcterms:modified xsi:type="dcterms:W3CDTF">2026-03-05T12:00:53Z</dcterms:modified>
</cp:coreProperties>
</file>