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 Tracker" sheetId="1" state="visible" r:id="rId1"/>
  </sheets>
  <definedNames>
    <definedName name="_xlnm._FilterDatabase" localSheetId="0" hidden="1">'Trade Tracker'!$A$1:$W$1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000;-$#,##0.0000"/>
    <numFmt numFmtId="166" formatCode="₹#,##0.00;-₹#,##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006100"/>
      <sz val="9"/>
    </font>
    <font>
      <name val="Arial"/>
      <b val="1"/>
      <sz val="9"/>
    </font>
    <font>
      <name val="Arial"/>
      <b val="1"/>
      <color rgb="009C0006"/>
      <sz val="9"/>
    </font>
  </fonts>
  <fills count="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8" customWidth="1" min="9" max="9"/>
    <col width="8" customWidth="1" min="10" max="10"/>
    <col width="13" customWidth="1" min="11" max="11"/>
    <col width="13" customWidth="1" min="12" max="12"/>
    <col width="16" customWidth="1" min="13" max="13"/>
    <col width="13" customWidth="1" min="14" max="14"/>
    <col width="13" customWidth="1" min="15" max="15"/>
    <col width="16" customWidth="1" min="16" max="16"/>
    <col width="13" customWidth="1" min="17" max="17"/>
    <col width="13" customWidth="1" min="18" max="18"/>
    <col width="10" customWidth="1" min="19" max="19"/>
    <col width="28" customWidth="1" min="20" max="20"/>
    <col width="11" customWidth="1" min="21" max="21"/>
    <col width="10" customWidth="1" min="22" max="22"/>
    <col width="16" customWidth="1" min="23" max="23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Entry Time</t>
        </is>
      </c>
      <c r="D1" s="1" t="inlineStr">
        <is>
          <t>Exit Time</t>
        </is>
      </c>
      <c r="E1" s="1" t="inlineStr">
        <is>
          <t>BTC Spot ($)</t>
        </is>
      </c>
      <c r="F1" s="1" t="inlineStr">
        <is>
          <t>ATM Strike ($)</t>
        </is>
      </c>
      <c r="G1" s="1" t="inlineStr">
        <is>
          <t>Call Strike ($)</t>
        </is>
      </c>
      <c r="H1" s="1" t="inlineStr">
        <is>
          <t>Put Strike ($)</t>
        </is>
      </c>
      <c r="I1" s="1" t="inlineStr">
        <is>
          <t>CE Dist</t>
        </is>
      </c>
      <c r="J1" s="1" t="inlineStr">
        <is>
          <t>PE Dist</t>
        </is>
      </c>
      <c r="K1" s="1" t="inlineStr">
        <is>
          <t>Entry CE ($)</t>
        </is>
      </c>
      <c r="L1" s="1" t="inlineStr">
        <is>
          <t>Entry PE ($)</t>
        </is>
      </c>
      <c r="M1" s="1" t="inlineStr">
        <is>
          <t>Entry Combined ($)</t>
        </is>
      </c>
      <c r="N1" s="1" t="inlineStr">
        <is>
          <t>Exit CE ($)</t>
        </is>
      </c>
      <c r="O1" s="1" t="inlineStr">
        <is>
          <t>Exit PE ($)</t>
        </is>
      </c>
      <c r="P1" s="1" t="inlineStr">
        <is>
          <t>Exit Combined ($)</t>
        </is>
      </c>
      <c r="Q1" s="1" t="inlineStr">
        <is>
          <t>P&amp;L (USD)</t>
        </is>
      </c>
      <c r="R1" s="1" t="inlineStr">
        <is>
          <t>P&amp;L (INR)</t>
        </is>
      </c>
      <c r="S1" s="1" t="inlineStr">
        <is>
          <t>P&amp;L %</t>
        </is>
      </c>
      <c r="T1" s="1" t="inlineStr">
        <is>
          <t>Exit Reason</t>
        </is>
      </c>
      <c r="U1" s="1" t="inlineStr">
        <is>
          <t>Duration</t>
        </is>
      </c>
      <c r="V1" s="1" t="inlineStr">
        <is>
          <t>Mode</t>
        </is>
      </c>
      <c r="W1" s="1" t="inlineStr">
        <is>
          <t>Cum P&amp;L (INR)</t>
        </is>
      </c>
    </row>
    <row r="2">
      <c r="A2" s="2" t="inlineStr">
        <is>
          <t>27-02-2026</t>
        </is>
      </c>
      <c r="B2" s="2" t="inlineStr">
        <is>
          <t>Friday</t>
        </is>
      </c>
      <c r="C2" s="2" t="inlineStr">
        <is>
          <t>03:53</t>
        </is>
      </c>
      <c r="D2" s="2" t="inlineStr">
        <is>
          <t>17:29</t>
        </is>
      </c>
      <c r="E2" s="3" t="n">
        <v>67370.8</v>
      </c>
      <c r="F2" s="3" t="n">
        <v>67400</v>
      </c>
      <c r="G2" s="3" t="n">
        <v>69800</v>
      </c>
      <c r="H2" s="3" t="n">
        <v>64800</v>
      </c>
      <c r="I2" s="2" t="n">
        <v>15</v>
      </c>
      <c r="J2" s="2" t="n">
        <v>15</v>
      </c>
      <c r="K2" s="3" t="n">
        <v>20</v>
      </c>
      <c r="L2" s="3" t="n">
        <v>19</v>
      </c>
      <c r="M2" s="3" t="n">
        <v>39</v>
      </c>
      <c r="N2" s="3" t="n">
        <v>0.9</v>
      </c>
      <c r="O2" s="3" t="n">
        <v>0.5</v>
      </c>
      <c r="P2" s="3" t="n">
        <v>1.4</v>
      </c>
      <c r="Q2" s="4" t="n">
        <v>37.6</v>
      </c>
      <c r="R2" s="5" t="n">
        <v>3420.47</v>
      </c>
      <c r="S2" s="6" t="n">
        <v>96.40000000000001</v>
      </c>
      <c r="T2" s="2" t="inlineStr">
        <is>
          <t>Early Exit — Premium decayed</t>
        </is>
      </c>
      <c r="U2" s="2" t="inlineStr">
        <is>
          <t>13h 36m</t>
        </is>
      </c>
      <c r="V2" s="2" t="inlineStr">
        <is>
          <t>DRY RUN</t>
        </is>
      </c>
      <c r="W2" s="7">
        <f>R2</f>
        <v/>
      </c>
    </row>
    <row r="3">
      <c r="A3" s="2" t="inlineStr">
        <is>
          <t>01-03-2026</t>
        </is>
      </c>
      <c r="B3" s="2" t="inlineStr">
        <is>
          <t>Sunday</t>
        </is>
      </c>
      <c r="C3" s="2" t="inlineStr">
        <is>
          <t>03:44</t>
        </is>
      </c>
      <c r="D3" s="2" t="inlineStr">
        <is>
          <t>07:55</t>
        </is>
      </c>
      <c r="E3" s="3" t="n">
        <v>66890</v>
      </c>
      <c r="F3" s="3" t="n">
        <v>66800</v>
      </c>
      <c r="G3" s="3" t="n">
        <v>70400</v>
      </c>
      <c r="H3" s="3" t="n">
        <v>64000</v>
      </c>
      <c r="I3" s="2" t="n">
        <v>15</v>
      </c>
      <c r="J3" s="2" t="n">
        <v>14</v>
      </c>
      <c r="K3" s="3" t="n">
        <v>10</v>
      </c>
      <c r="L3" s="3" t="n">
        <v>11.1</v>
      </c>
      <c r="M3" s="3" t="n">
        <v>21.1</v>
      </c>
      <c r="N3" s="3" t="n">
        <v>25</v>
      </c>
      <c r="O3" s="3" t="n">
        <v>27.75</v>
      </c>
      <c r="P3" s="3" t="n">
        <v>52.75</v>
      </c>
      <c r="Q3" s="8" t="n">
        <v>-31.65</v>
      </c>
      <c r="R3" s="9" t="n">
        <v>-2883.63</v>
      </c>
      <c r="S3" s="10" t="n">
        <v>-150</v>
      </c>
      <c r="T3" s="2" t="inlineStr">
        <is>
          <t>SL — Combined 2.5x (intraday @ 07:55)</t>
        </is>
      </c>
      <c r="U3" s="2" t="inlineStr">
        <is>
          <t>4h 11m</t>
        </is>
      </c>
      <c r="V3" s="2" t="inlineStr">
        <is>
          <t>DRY RUN</t>
        </is>
      </c>
      <c r="W3" s="7">
        <f>W2+R3</f>
        <v/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2026-02-27T11:59:38Z</dcterms:created>
  <dcterms:modified xsi:type="dcterms:W3CDTF">2026-03-01T11:51:36Z</dcterms:modified>
</cp:coreProperties>
</file>